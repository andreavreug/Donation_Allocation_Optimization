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gill-my.sharepoint.com/personal/andrea_vreugdenhil_mail_mcgill_ca/Documents/MMA/S2/MGSC662/Project/"/>
    </mc:Choice>
  </mc:AlternateContent>
  <xr:revisionPtr revIDLastSave="332" documentId="8_{92CF298B-E1B7-4C94-A126-2277C37160C8}" xr6:coauthVersionLast="47" xr6:coauthVersionMax="47" xr10:uidLastSave="{B6F34279-9E76-4A9D-8AD9-E2445095C4CD}"/>
  <bookViews>
    <workbookView xWindow="-98" yWindow="-98" windowWidth="21795" windowHeight="12975" xr2:uid="{00000000-000D-0000-FFFF-FFFF00000000}"/>
  </bookViews>
  <sheets>
    <sheet name="Data" sheetId="1" r:id="rId1"/>
    <sheet name="Weights" sheetId="3" r:id="rId2"/>
    <sheet name="Dictiona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21" i="1"/>
  <c r="M20" i="1"/>
  <c r="G20" i="1"/>
  <c r="M19" i="1"/>
  <c r="M18" i="1"/>
  <c r="G18" i="1"/>
  <c r="M17" i="1"/>
  <c r="M16" i="1"/>
  <c r="M15" i="1"/>
  <c r="G15" i="1"/>
  <c r="M14" i="1"/>
  <c r="G14" i="1"/>
  <c r="M13" i="1"/>
  <c r="G13" i="1"/>
  <c r="M12" i="1"/>
  <c r="G12" i="1"/>
  <c r="M11" i="1"/>
  <c r="M10" i="1"/>
  <c r="G10" i="1"/>
  <c r="M9" i="1"/>
  <c r="M8" i="1"/>
  <c r="G8" i="1"/>
  <c r="M7" i="1"/>
  <c r="G7" i="1"/>
  <c r="M6" i="1"/>
  <c r="M5" i="1"/>
  <c r="G5" i="1"/>
  <c r="M4" i="1"/>
  <c r="G4" i="1"/>
  <c r="M3" i="1"/>
  <c r="G3" i="1"/>
</calcChain>
</file>

<file path=xl/sharedStrings.xml><?xml version="1.0" encoding="utf-8"?>
<sst xmlns="http://schemas.openxmlformats.org/spreadsheetml/2006/main" count="105" uniqueCount="53">
  <si>
    <t>project_id</t>
  </si>
  <si>
    <t>charity</t>
  </si>
  <si>
    <t>cost_cap</t>
  </si>
  <si>
    <t>requires_full</t>
  </si>
  <si>
    <t>edu</t>
  </si>
  <si>
    <t>comm</t>
  </si>
  <si>
    <t>health</t>
  </si>
  <si>
    <t>JMDM</t>
  </si>
  <si>
    <t>CSM</t>
  </si>
  <si>
    <t>LongTerm</t>
  </si>
  <si>
    <t>AdHoc</t>
  </si>
  <si>
    <t>Description</t>
  </si>
  <si>
    <t>Field Trip (zoo/aquarium)</t>
  </si>
  <si>
    <t>Community Garden</t>
  </si>
  <si>
    <t>Renovation of new "quiet" space</t>
  </si>
  <si>
    <t>Addition recording studio equipment</t>
  </si>
  <si>
    <t>End of season concert</t>
  </si>
  <si>
    <t>Fix/replace/buy more instruments</t>
  </si>
  <si>
    <t>Renovations of music space (painting &amp; small repairs)</t>
  </si>
  <si>
    <t>Renovations of common space (painting &amp; small repairs)</t>
  </si>
  <si>
    <t>Hire music teacher (summer)</t>
  </si>
  <si>
    <t>Hire intern music teacher (summer)</t>
  </si>
  <si>
    <t>Bike for summer camp</t>
  </si>
  <si>
    <t>Nordic skis for outdoor field trip</t>
  </si>
  <si>
    <t>depends_on</t>
  </si>
  <si>
    <t>Field Trip (nordic skiing)</t>
  </si>
  <si>
    <t>min amount</t>
  </si>
  <si>
    <t>term</t>
  </si>
  <si>
    <t>max_no</t>
  </si>
  <si>
    <t>Column</t>
  </si>
  <si>
    <t>Project identifier</t>
  </si>
  <si>
    <t>Either JMDM (Jeunes Musiciens du Monde) or CSM (Carrefour St-Malo)</t>
  </si>
  <si>
    <t>Description of the project</t>
  </si>
  <si>
    <t>Either AdHoc (one off event) or LongTerm (investment in material and or people)</t>
  </si>
  <si>
    <t>1 if enture amount is required for project to exist 0 otherwise</t>
  </si>
  <si>
    <t>If full amount is not required, minimum amount to allocate for project to exist, otherwise cost_cap</t>
  </si>
  <si>
    <t>Project can only exist if indicated project also exists</t>
  </si>
  <si>
    <t>Maximum number of this type of project that can exist</t>
  </si>
  <si>
    <t>Evaluation of project according to criteria edu if cost_cap amount is allocated</t>
  </si>
  <si>
    <t>Evaluation of project according to criteria health if cost_cap amount is allocated</t>
  </si>
  <si>
    <t>Evaluation of project according to criteria comm if cost_cap amount is allocated</t>
  </si>
  <si>
    <t>total_weight</t>
  </si>
  <si>
    <t>description</t>
  </si>
  <si>
    <t>min_amount</t>
  </si>
  <si>
    <t>cost_cap_1_it</t>
  </si>
  <si>
    <t>Amount of money requested by the charity for 1 iteration of the project (max amount)</t>
  </si>
  <si>
    <t>Homework club mentors</t>
  </si>
  <si>
    <t>Psychoeducational Intern (4 months)</t>
  </si>
  <si>
    <t>Community Sundays ("Dimanches communautaires")</t>
  </si>
  <si>
    <t>Family cooking nights</t>
  </si>
  <si>
    <t>General outdoor play equipment (other than bikes and skis)</t>
  </si>
  <si>
    <t>Expand after‑school ensemble program</t>
  </si>
  <si>
    <t>Reward Lunches ("Diners récompenses")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</si>
</sst>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zoomScale="90" zoomScaleNormal="90" workbookViewId="0">
      <pane ySplit="1" topLeftCell="A2" activePane="bottomLeft" state="frozen"/>
      <selection pane="bottomLeft" activeCell="I6" sqref="I6"/>
    </sheetView>
  </sheetViews>
  <sheetFormatPr defaultRowHeight="14.25" x14ac:dyDescent="0.45"/>
  <cols>
    <col min="3" max="3" width="47.3984375" bestFit="1" customWidth="1"/>
    <col min="4" max="4" width="14.796875" customWidth="1"/>
    <col min="5" max="5" width="11.9296875" bestFit="1" customWidth="1"/>
    <col min="6" max="6" width="10.86328125" customWidth="1"/>
    <col min="7" max="7" width="11.53125" bestFit="1" customWidth="1"/>
    <col min="8" max="8" width="10.86328125" customWidth="1"/>
    <col min="9" max="9" width="11.53125" customWidth="1"/>
    <col min="12" max="12" width="6.19921875" bestFit="1" customWidth="1"/>
    <col min="13" max="13" width="11.53125" customWidth="1"/>
  </cols>
  <sheetData>
    <row r="1" spans="1:13" x14ac:dyDescent="0.45">
      <c r="A1" s="1" t="s">
        <v>0</v>
      </c>
      <c r="B1" s="1" t="s">
        <v>1</v>
      </c>
      <c r="C1" s="1" t="s">
        <v>42</v>
      </c>
      <c r="D1" s="1" t="s">
        <v>27</v>
      </c>
      <c r="E1" s="1" t="s">
        <v>44</v>
      </c>
      <c r="F1" s="1" t="s">
        <v>3</v>
      </c>
      <c r="G1" s="1" t="s">
        <v>43</v>
      </c>
      <c r="H1" s="1" t="s">
        <v>24</v>
      </c>
      <c r="I1" s="1" t="s">
        <v>28</v>
      </c>
      <c r="J1" s="1" t="s">
        <v>4</v>
      </c>
      <c r="K1" s="1" t="s">
        <v>5</v>
      </c>
      <c r="L1" s="1" t="s">
        <v>6</v>
      </c>
      <c r="M1" s="1" t="s">
        <v>41</v>
      </c>
    </row>
    <row r="2" spans="1:13" x14ac:dyDescent="0.45">
      <c r="A2">
        <v>1</v>
      </c>
      <c r="B2" t="s">
        <v>7</v>
      </c>
      <c r="C2" t="s">
        <v>17</v>
      </c>
      <c r="D2" t="s">
        <v>9</v>
      </c>
      <c r="E2">
        <v>15000</v>
      </c>
      <c r="F2">
        <v>0</v>
      </c>
      <c r="G2">
        <v>10000</v>
      </c>
      <c r="I2">
        <v>1</v>
      </c>
      <c r="J2">
        <v>10</v>
      </c>
      <c r="K2">
        <v>5</v>
      </c>
      <c r="L2">
        <v>5</v>
      </c>
      <c r="M2">
        <f>SUMPRODUCT(J2:L2,Weights!$B$2:$D$2)</f>
        <v>16</v>
      </c>
    </row>
    <row r="3" spans="1:13" x14ac:dyDescent="0.45">
      <c r="A3">
        <v>2</v>
      </c>
      <c r="B3" t="s">
        <v>7</v>
      </c>
      <c r="C3" t="s">
        <v>16</v>
      </c>
      <c r="D3" t="s">
        <v>10</v>
      </c>
      <c r="E3">
        <v>3000</v>
      </c>
      <c r="F3">
        <v>1</v>
      </c>
      <c r="G3">
        <f>IF(F3 = 0, 0, E3)</f>
        <v>3000</v>
      </c>
      <c r="I3">
        <v>2</v>
      </c>
      <c r="J3">
        <v>3</v>
      </c>
      <c r="K3">
        <v>5</v>
      </c>
      <c r="L3">
        <v>2</v>
      </c>
      <c r="M3">
        <f>SUMPRODUCT(J3:L3,Weights!$B$2:$D$2)</f>
        <v>6.6</v>
      </c>
    </row>
    <row r="4" spans="1:13" x14ac:dyDescent="0.45">
      <c r="A4">
        <v>3</v>
      </c>
      <c r="B4" t="s">
        <v>7</v>
      </c>
      <c r="C4" t="s">
        <v>15</v>
      </c>
      <c r="D4" t="s">
        <v>9</v>
      </c>
      <c r="E4">
        <v>8000</v>
      </c>
      <c r="F4">
        <v>1</v>
      </c>
      <c r="G4">
        <f>IF(F4 = 0, 0, E4)</f>
        <v>8000</v>
      </c>
      <c r="H4">
        <v>1</v>
      </c>
      <c r="I4">
        <v>1</v>
      </c>
      <c r="J4">
        <v>4</v>
      </c>
      <c r="K4">
        <v>2</v>
      </c>
      <c r="L4">
        <v>3</v>
      </c>
      <c r="M4">
        <f>SUMPRODUCT(J4:L4,Weights!$B$2:$D$2)</f>
        <v>7.2</v>
      </c>
    </row>
    <row r="5" spans="1:13" x14ac:dyDescent="0.45">
      <c r="A5">
        <v>4</v>
      </c>
      <c r="B5" t="s">
        <v>7</v>
      </c>
      <c r="C5" t="s">
        <v>21</v>
      </c>
      <c r="D5" t="s">
        <v>9</v>
      </c>
      <c r="E5">
        <v>5000</v>
      </c>
      <c r="F5">
        <v>1</v>
      </c>
      <c r="G5">
        <f>IF(F5 = 0, 0, E5)</f>
        <v>5000</v>
      </c>
      <c r="H5">
        <v>1</v>
      </c>
      <c r="I5">
        <v>1</v>
      </c>
      <c r="J5">
        <v>5</v>
      </c>
      <c r="K5">
        <v>2</v>
      </c>
      <c r="L5">
        <v>3</v>
      </c>
      <c r="M5">
        <f>SUMPRODUCT(J5:L5,Weights!$B$2:$D$2)</f>
        <v>8.1999999999999993</v>
      </c>
    </row>
    <row r="6" spans="1:13" x14ac:dyDescent="0.45">
      <c r="A6">
        <v>5</v>
      </c>
      <c r="B6" t="s">
        <v>7</v>
      </c>
      <c r="C6" t="s">
        <v>20</v>
      </c>
      <c r="D6" t="s">
        <v>9</v>
      </c>
      <c r="E6">
        <v>10000</v>
      </c>
      <c r="F6">
        <v>1</v>
      </c>
      <c r="G6">
        <v>10000</v>
      </c>
      <c r="H6">
        <v>1</v>
      </c>
      <c r="I6">
        <v>1</v>
      </c>
      <c r="J6">
        <v>7</v>
      </c>
      <c r="K6">
        <v>2</v>
      </c>
      <c r="L6">
        <v>3</v>
      </c>
      <c r="M6">
        <f>SUMPRODUCT(J6:L6,Weights!$B$2:$D$2)</f>
        <v>10.199999999999999</v>
      </c>
    </row>
    <row r="7" spans="1:13" x14ac:dyDescent="0.45">
      <c r="A7">
        <v>6</v>
      </c>
      <c r="B7" t="s">
        <v>7</v>
      </c>
      <c r="C7" t="s">
        <v>19</v>
      </c>
      <c r="D7" t="s">
        <v>9</v>
      </c>
      <c r="E7">
        <v>2000</v>
      </c>
      <c r="F7">
        <v>1</v>
      </c>
      <c r="G7">
        <f>IF(F7 = 0, 0, E7)</f>
        <v>2000</v>
      </c>
      <c r="I7">
        <v>1</v>
      </c>
      <c r="J7">
        <v>1</v>
      </c>
      <c r="K7">
        <v>2</v>
      </c>
      <c r="L7">
        <v>2</v>
      </c>
      <c r="M7">
        <f>SUMPRODUCT(J7:L7,Weights!$B$2:$D$2)</f>
        <v>3.4000000000000004</v>
      </c>
    </row>
    <row r="8" spans="1:13" x14ac:dyDescent="0.45">
      <c r="A8">
        <v>7</v>
      </c>
      <c r="B8" t="s">
        <v>7</v>
      </c>
      <c r="C8" t="s">
        <v>18</v>
      </c>
      <c r="D8" t="s">
        <v>9</v>
      </c>
      <c r="E8">
        <v>2000</v>
      </c>
      <c r="F8">
        <v>1</v>
      </c>
      <c r="G8">
        <f>IF(F8 = 0, 0, E8)</f>
        <v>2000</v>
      </c>
      <c r="I8">
        <v>1</v>
      </c>
      <c r="J8">
        <v>1</v>
      </c>
      <c r="K8">
        <v>2</v>
      </c>
      <c r="L8">
        <v>2</v>
      </c>
      <c r="M8">
        <f>SUMPRODUCT(J8:L8,Weights!$B$2:$D$2)</f>
        <v>3.4000000000000004</v>
      </c>
    </row>
    <row r="9" spans="1:13" x14ac:dyDescent="0.45">
      <c r="A9">
        <v>8</v>
      </c>
      <c r="B9" t="s">
        <v>7</v>
      </c>
      <c r="C9" t="s">
        <v>51</v>
      </c>
      <c r="D9" t="s">
        <v>9</v>
      </c>
      <c r="E9">
        <v>6000</v>
      </c>
      <c r="F9">
        <v>1</v>
      </c>
      <c r="G9">
        <v>6000</v>
      </c>
      <c r="I9">
        <v>1</v>
      </c>
      <c r="J9">
        <v>7</v>
      </c>
      <c r="K9">
        <v>4</v>
      </c>
      <c r="L9">
        <v>2</v>
      </c>
      <c r="M9">
        <f>SUMPRODUCT(J9:L9,Weights!$B$2:$D$2)</f>
        <v>10.199999999999999</v>
      </c>
    </row>
    <row r="10" spans="1:13" x14ac:dyDescent="0.45">
      <c r="A10">
        <v>9</v>
      </c>
      <c r="B10" t="s">
        <v>8</v>
      </c>
      <c r="C10" t="s">
        <v>12</v>
      </c>
      <c r="D10" t="s">
        <v>10</v>
      </c>
      <c r="E10">
        <v>1000</v>
      </c>
      <c r="F10">
        <v>1</v>
      </c>
      <c r="G10">
        <f>IF(F10 = 0, 0, E10)</f>
        <v>1000</v>
      </c>
      <c r="I10">
        <v>2</v>
      </c>
      <c r="J10">
        <v>1</v>
      </c>
      <c r="K10">
        <v>2</v>
      </c>
      <c r="L10">
        <v>1</v>
      </c>
      <c r="M10">
        <f>SUMPRODUCT(J10:L10,Weights!$B$2:$D$2)</f>
        <v>2.6</v>
      </c>
    </row>
    <row r="11" spans="1:13" x14ac:dyDescent="0.45">
      <c r="A11">
        <v>10</v>
      </c>
      <c r="B11" t="s">
        <v>8</v>
      </c>
      <c r="C11" t="s">
        <v>13</v>
      </c>
      <c r="D11" t="s">
        <v>10</v>
      </c>
      <c r="E11">
        <v>4000</v>
      </c>
      <c r="F11">
        <v>0</v>
      </c>
      <c r="G11">
        <v>2500</v>
      </c>
      <c r="I11">
        <v>1</v>
      </c>
      <c r="J11">
        <v>2</v>
      </c>
      <c r="K11">
        <v>5</v>
      </c>
      <c r="L11">
        <v>3</v>
      </c>
      <c r="M11">
        <f>SUMPRODUCT(J11:L11,Weights!$B$3:$D$3)</f>
        <v>7.8</v>
      </c>
    </row>
    <row r="12" spans="1:13" x14ac:dyDescent="0.45">
      <c r="A12">
        <v>11</v>
      </c>
      <c r="B12" t="s">
        <v>8</v>
      </c>
      <c r="C12" t="s">
        <v>52</v>
      </c>
      <c r="D12" t="s">
        <v>10</v>
      </c>
      <c r="E12">
        <v>2000</v>
      </c>
      <c r="F12">
        <v>1</v>
      </c>
      <c r="G12">
        <f>IF(F12 = 0, 0, E12)</f>
        <v>2000</v>
      </c>
      <c r="I12">
        <v>4</v>
      </c>
      <c r="J12">
        <v>3</v>
      </c>
      <c r="K12">
        <v>4</v>
      </c>
      <c r="L12">
        <v>3</v>
      </c>
      <c r="M12">
        <f>SUMPRODUCT(J12:L12,Weights!$B$3:$D$3)</f>
        <v>7.6000000000000005</v>
      </c>
    </row>
    <row r="13" spans="1:13" x14ac:dyDescent="0.45">
      <c r="A13">
        <v>12</v>
      </c>
      <c r="B13" t="s">
        <v>8</v>
      </c>
      <c r="C13" t="s">
        <v>48</v>
      </c>
      <c r="D13" t="s">
        <v>10</v>
      </c>
      <c r="E13">
        <v>3000</v>
      </c>
      <c r="F13">
        <v>1</v>
      </c>
      <c r="G13">
        <f>IF(F13 = 0, 0, E13)</f>
        <v>3000</v>
      </c>
      <c r="H13">
        <v>11</v>
      </c>
      <c r="I13">
        <v>4</v>
      </c>
      <c r="J13">
        <v>2</v>
      </c>
      <c r="K13">
        <v>6</v>
      </c>
      <c r="L13">
        <v>3</v>
      </c>
      <c r="M13">
        <f>SUMPRODUCT(J13:L13,Weights!$B$3:$D$3)</f>
        <v>8.8000000000000007</v>
      </c>
    </row>
    <row r="14" spans="1:13" x14ac:dyDescent="0.45">
      <c r="A14">
        <v>13</v>
      </c>
      <c r="B14" t="s">
        <v>8</v>
      </c>
      <c r="C14" t="s">
        <v>47</v>
      </c>
      <c r="D14" t="s">
        <v>9</v>
      </c>
      <c r="E14">
        <v>5000</v>
      </c>
      <c r="F14">
        <v>1</v>
      </c>
      <c r="G14">
        <f>IF(F14 = 0, 0, E14)</f>
        <v>5000</v>
      </c>
      <c r="I14">
        <v>1</v>
      </c>
      <c r="J14">
        <v>6</v>
      </c>
      <c r="K14">
        <v>2</v>
      </c>
      <c r="L14">
        <v>4</v>
      </c>
      <c r="M14">
        <f>SUMPRODUCT(J14:L14,Weights!$B$3:$D$3)</f>
        <v>8.4</v>
      </c>
    </row>
    <row r="15" spans="1:13" x14ac:dyDescent="0.45">
      <c r="A15">
        <v>14</v>
      </c>
      <c r="B15" t="s">
        <v>8</v>
      </c>
      <c r="C15" t="s">
        <v>14</v>
      </c>
      <c r="D15" t="s">
        <v>9</v>
      </c>
      <c r="E15">
        <v>3000</v>
      </c>
      <c r="F15">
        <v>1</v>
      </c>
      <c r="G15">
        <f>IF(F15 = 0, 0, E15)</f>
        <v>3000</v>
      </c>
      <c r="I15">
        <v>1</v>
      </c>
      <c r="J15">
        <v>1</v>
      </c>
      <c r="K15">
        <v>3</v>
      </c>
      <c r="L15">
        <v>5</v>
      </c>
      <c r="M15">
        <f>SUMPRODUCT(J15:L15,Weights!$B$3:$D$3)</f>
        <v>5.8</v>
      </c>
    </row>
    <row r="16" spans="1:13" x14ac:dyDescent="0.45">
      <c r="A16">
        <v>15</v>
      </c>
      <c r="B16" t="s">
        <v>8</v>
      </c>
      <c r="C16" t="s">
        <v>22</v>
      </c>
      <c r="D16" t="s">
        <v>9</v>
      </c>
      <c r="E16">
        <v>5000</v>
      </c>
      <c r="F16">
        <v>0</v>
      </c>
      <c r="G16">
        <v>2500</v>
      </c>
      <c r="I16">
        <v>1</v>
      </c>
      <c r="J16">
        <v>1</v>
      </c>
      <c r="K16">
        <v>5</v>
      </c>
      <c r="L16">
        <v>5</v>
      </c>
      <c r="M16">
        <f>SUMPRODUCT(J16:L16,Weights!$B$3:$D$3)</f>
        <v>7.8</v>
      </c>
    </row>
    <row r="17" spans="1:13" x14ac:dyDescent="0.45">
      <c r="A17">
        <v>16</v>
      </c>
      <c r="B17" t="s">
        <v>8</v>
      </c>
      <c r="C17" t="s">
        <v>23</v>
      </c>
      <c r="D17" t="s">
        <v>9</v>
      </c>
      <c r="E17">
        <v>2500</v>
      </c>
      <c r="F17">
        <v>0</v>
      </c>
      <c r="G17">
        <v>1000</v>
      </c>
      <c r="I17">
        <v>1</v>
      </c>
      <c r="J17">
        <v>1</v>
      </c>
      <c r="K17">
        <v>4</v>
      </c>
      <c r="L17">
        <v>4</v>
      </c>
      <c r="M17">
        <f>SUMPRODUCT(J17:L17,Weights!$B$3:$D$3)</f>
        <v>6.4</v>
      </c>
    </row>
    <row r="18" spans="1:13" x14ac:dyDescent="0.45">
      <c r="A18">
        <v>17</v>
      </c>
      <c r="B18" t="s">
        <v>8</v>
      </c>
      <c r="C18" t="s">
        <v>25</v>
      </c>
      <c r="D18" t="s">
        <v>10</v>
      </c>
      <c r="E18">
        <v>1000</v>
      </c>
      <c r="F18">
        <v>1</v>
      </c>
      <c r="G18">
        <f>IF(F18 = 0, 0, E18)</f>
        <v>1000</v>
      </c>
      <c r="H18">
        <v>16</v>
      </c>
      <c r="I18">
        <v>2</v>
      </c>
      <c r="J18">
        <v>1</v>
      </c>
      <c r="K18">
        <v>2</v>
      </c>
      <c r="L18">
        <v>2</v>
      </c>
      <c r="M18">
        <f>SUMPRODUCT(J18:L18,Weights!$B$3:$D$3)</f>
        <v>3.5999999999999996</v>
      </c>
    </row>
    <row r="19" spans="1:13" x14ac:dyDescent="0.45">
      <c r="A19">
        <v>18</v>
      </c>
      <c r="B19" t="s">
        <v>8</v>
      </c>
      <c r="C19" t="s">
        <v>49</v>
      </c>
      <c r="D19" t="s">
        <v>10</v>
      </c>
      <c r="E19">
        <v>2000</v>
      </c>
      <c r="F19">
        <v>1</v>
      </c>
      <c r="G19">
        <v>2000</v>
      </c>
      <c r="H19">
        <v>11</v>
      </c>
      <c r="I19">
        <v>4</v>
      </c>
      <c r="J19">
        <v>1</v>
      </c>
      <c r="K19">
        <v>3</v>
      </c>
      <c r="L19">
        <v>3</v>
      </c>
      <c r="M19">
        <f>SUMPRODUCT(J19:L19,Weights!$B$3:$D$3)</f>
        <v>5</v>
      </c>
    </row>
    <row r="20" spans="1:13" x14ac:dyDescent="0.45">
      <c r="A20">
        <v>19</v>
      </c>
      <c r="B20" t="s">
        <v>8</v>
      </c>
      <c r="C20" t="s">
        <v>46</v>
      </c>
      <c r="D20" t="s">
        <v>9</v>
      </c>
      <c r="E20">
        <v>3000</v>
      </c>
      <c r="F20">
        <v>1</v>
      </c>
      <c r="G20">
        <f>E20</f>
        <v>3000</v>
      </c>
      <c r="H20">
        <v>13</v>
      </c>
      <c r="I20">
        <v>1</v>
      </c>
      <c r="J20">
        <v>5</v>
      </c>
      <c r="K20">
        <v>1</v>
      </c>
      <c r="L20">
        <v>2</v>
      </c>
      <c r="M20">
        <f>SUMPRODUCT(J20:L20,Weights!$B$3:$D$3)</f>
        <v>5.8</v>
      </c>
    </row>
    <row r="21" spans="1:13" x14ac:dyDescent="0.45">
      <c r="A21">
        <v>20</v>
      </c>
      <c r="B21" t="s">
        <v>8</v>
      </c>
      <c r="C21" t="s">
        <v>50</v>
      </c>
      <c r="D21" t="s">
        <v>9</v>
      </c>
      <c r="E21">
        <v>3000</v>
      </c>
      <c r="F21">
        <v>0</v>
      </c>
      <c r="G21">
        <v>1000</v>
      </c>
      <c r="I21">
        <v>1</v>
      </c>
      <c r="J21">
        <v>1</v>
      </c>
      <c r="K21">
        <v>2</v>
      </c>
      <c r="L21">
        <v>4</v>
      </c>
      <c r="M21">
        <f>SUMPRODUCT(J21:L21,Weights!$B$3:$D$3)</f>
        <v>4.4000000000000004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C80E-7D66-4A8D-B2A6-A3BA02AE0CC0}">
  <dimension ref="A1:D3"/>
  <sheetViews>
    <sheetView workbookViewId="0">
      <selection activeCell="H5" sqref="H5"/>
    </sheetView>
  </sheetViews>
  <sheetFormatPr defaultRowHeight="14.25" x14ac:dyDescent="0.45"/>
  <cols>
    <col min="1" max="1" width="10.46484375" bestFit="1" customWidth="1"/>
    <col min="2" max="2" width="9" bestFit="1" customWidth="1"/>
    <col min="3" max="3" width="10.46484375" bestFit="1" customWidth="1"/>
  </cols>
  <sheetData>
    <row r="1" spans="1:4" x14ac:dyDescent="0.45">
      <c r="A1" t="s">
        <v>1</v>
      </c>
      <c r="B1" t="s">
        <v>4</v>
      </c>
      <c r="C1" t="s">
        <v>5</v>
      </c>
      <c r="D1" t="s">
        <v>6</v>
      </c>
    </row>
    <row r="2" spans="1:4" x14ac:dyDescent="0.45">
      <c r="A2" t="s">
        <v>7</v>
      </c>
      <c r="B2" s="2">
        <v>1</v>
      </c>
      <c r="C2" s="2">
        <v>0.4</v>
      </c>
      <c r="D2" s="2">
        <v>0.8</v>
      </c>
    </row>
    <row r="3" spans="1:4" x14ac:dyDescent="0.45">
      <c r="A3" t="s">
        <v>8</v>
      </c>
      <c r="B3" s="2">
        <v>0.8</v>
      </c>
      <c r="C3" s="2">
        <v>1</v>
      </c>
      <c r="D3" s="2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8E42D-189D-4AC3-9C96-ABE8BB5258F0}">
  <dimension ref="A1:B13"/>
  <sheetViews>
    <sheetView workbookViewId="0">
      <selection activeCell="C16" sqref="C16"/>
    </sheetView>
  </sheetViews>
  <sheetFormatPr defaultRowHeight="14.25" x14ac:dyDescent="0.45"/>
  <cols>
    <col min="1" max="1" width="11.53125" customWidth="1"/>
    <col min="2" max="2" width="88.06640625" customWidth="1"/>
  </cols>
  <sheetData>
    <row r="1" spans="1:2" x14ac:dyDescent="0.45">
      <c r="A1" s="1" t="s">
        <v>29</v>
      </c>
      <c r="B1" s="1" t="s">
        <v>11</v>
      </c>
    </row>
    <row r="2" spans="1:2" x14ac:dyDescent="0.45">
      <c r="A2" s="1" t="s">
        <v>0</v>
      </c>
      <c r="B2" t="s">
        <v>30</v>
      </c>
    </row>
    <row r="3" spans="1:2" x14ac:dyDescent="0.45">
      <c r="A3" s="1" t="s">
        <v>1</v>
      </c>
      <c r="B3" t="s">
        <v>31</v>
      </c>
    </row>
    <row r="4" spans="1:2" x14ac:dyDescent="0.45">
      <c r="A4" s="1" t="s">
        <v>11</v>
      </c>
      <c r="B4" t="s">
        <v>32</v>
      </c>
    </row>
    <row r="5" spans="1:2" x14ac:dyDescent="0.45">
      <c r="A5" s="1" t="s">
        <v>27</v>
      </c>
      <c r="B5" t="s">
        <v>33</v>
      </c>
    </row>
    <row r="6" spans="1:2" x14ac:dyDescent="0.45">
      <c r="A6" s="1" t="s">
        <v>2</v>
      </c>
      <c r="B6" t="s">
        <v>45</v>
      </c>
    </row>
    <row r="7" spans="1:2" x14ac:dyDescent="0.45">
      <c r="A7" s="1" t="s">
        <v>3</v>
      </c>
      <c r="B7" t="s">
        <v>34</v>
      </c>
    </row>
    <row r="8" spans="1:2" x14ac:dyDescent="0.45">
      <c r="A8" s="1" t="s">
        <v>26</v>
      </c>
      <c r="B8" t="s">
        <v>35</v>
      </c>
    </row>
    <row r="9" spans="1:2" x14ac:dyDescent="0.45">
      <c r="A9" s="1" t="s">
        <v>24</v>
      </c>
      <c r="B9" t="s">
        <v>36</v>
      </c>
    </row>
    <row r="10" spans="1:2" x14ac:dyDescent="0.45">
      <c r="A10" s="1" t="s">
        <v>28</v>
      </c>
      <c r="B10" t="s">
        <v>37</v>
      </c>
    </row>
    <row r="11" spans="1:2" x14ac:dyDescent="0.45">
      <c r="A11" s="1" t="s">
        <v>4</v>
      </c>
      <c r="B11" t="s">
        <v>38</v>
      </c>
    </row>
    <row r="12" spans="1:2" x14ac:dyDescent="0.45">
      <c r="A12" s="1" t="s">
        <v>5</v>
      </c>
      <c r="B12" t="s">
        <v>40</v>
      </c>
    </row>
    <row r="13" spans="1:2" x14ac:dyDescent="0.45">
      <c r="A13" s="1" t="s">
        <v>6</v>
      </c>
      <c r="B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Weights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 Vreugdenhil</cp:lastModifiedBy>
  <dcterms:created xsi:type="dcterms:W3CDTF">2025-11-10T20:58:05Z</dcterms:created>
  <dcterms:modified xsi:type="dcterms:W3CDTF">2025-11-15T00:10:31Z</dcterms:modified>
</cp:coreProperties>
</file>